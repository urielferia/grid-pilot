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3d7a22379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1bf8215fedf4752"/>
    <x:sheet xmlns:r="http://schemas.openxmlformats.org/officeDocument/2006/relationships" name="Visitas" sheetId="2" r:id="Rb13cd8937b3c4df0"/>
    <x:sheet xmlns:r="http://schemas.openxmlformats.org/officeDocument/2006/relationships" name="Inventario" sheetId="3" r:id="R02efca01de924ae9"/>
    <x:sheet xmlns:r="http://schemas.openxmlformats.org/officeDocument/2006/relationships" name="Movimientos" sheetId="4" r:id="Rcdfe71a61c54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&quot;MXN &quot;#,##0.00"/>
  </x:numFmts>
  <x:fonts count="5">
    <x:font>
      <x:sz val="11"/>
      <x:name val="Carlito"/>
    </x:font>
    <x:font>
      <x:sz val="10"/>
      <x:color rgb="FF182A40"/>
      <x:name val="Arial"/>
    </x:font>
    <x:font>
      <x:b/>
      <x:sz val="16"/>
      <x:color rgb="FF182A40"/>
      <x:name val="Arial"/>
    </x:font>
    <x:font>
      <x:i/>
      <x:sz val="10"/>
      <x:color rgb="FF56677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3D61"/>
      </x:patternFill>
    </x:fill>
    <x:fill>
      <x:patternFill patternType="solid">
        <x:fgColor rgb="FFFFF8E6"/>
      </x:patternFill>
    </x:fill>
    <x:fill>
      <x:patternFill patternType="solid">
        <x:fgColor rgb="FFE9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4" borderId="0" xfId="0" applyNumberFormat="1" applyFont="1" applyFill="1" applyBorder="1"/>
    <x:xf numFmtId="0" fontId="1" fillId="4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A52121"/>
      </x:font>
      <x:fill>
        <x:patternFill patternType="solid">
          <x:bgColor rgb="FFFFE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144e765f44788" /><Relationship Type="http://schemas.openxmlformats.org/officeDocument/2006/relationships/theme" Target="/xl/theme/theme1.xml" Id="R7da99cdfe6c845bd" /><Relationship Type="http://schemas.openxmlformats.org/officeDocument/2006/relationships/sharedStrings" Target="/xl/sharedStrings.xml" Id="Ree731b7fa6c34622" /><Relationship Type="http://schemas.openxmlformats.org/officeDocument/2006/relationships/worksheet" Target="/xl/worksheets/sheet1.xml" Id="R41bf8215fedf4752" /><Relationship Type="http://schemas.openxmlformats.org/officeDocument/2006/relationships/worksheet" Target="/xl/worksheets/sheet2.xml" Id="Rb13cd8937b3c4df0" /><Relationship Type="http://schemas.openxmlformats.org/officeDocument/2006/relationships/worksheet" Target="/xl/worksheets/sheet3.xml" Id="R02efca01de924ae9" /><Relationship Type="http://schemas.openxmlformats.org/officeDocument/2006/relationships/worksheet" Target="/xl/worksheets/sheet4.xml" Id="Rcdfe71a61c544d65" /></Relationships>
</file>

<file path=xl/tables/table1.xml><?xml version="1.0" encoding="utf-8"?>
<x:table xmlns:x="http://schemas.openxmlformats.org/spreadsheetml/2006/main" id="1" name="Visitas" displayName="Visitas" ref="A5:H15" headerRowCount="1" totalsRowCount="0" totalsRowShown="0">
  <x:tableColumns count="8">
    <x:tableColumn id="1" name="ID"/>
    <x:tableColumn id="2" name="Fecha"/>
    <x:tableColumn id="3" name="Cliente"/>
    <x:tableColumn id="4" name="Sitio"/>
    <x:tableColumn id="5" name="Técnico"/>
    <x:tableColumn id="6" name="Estado"/>
    <x:tableColumn id="7" name="Trabajo"/>
    <x:tableColumn id="8" name="Costo materia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ario" displayName="Inventario" ref="A5:I15" headerRowCount="1" totalsRowCount="0" totalsRowShown="0">
  <x:tableColumns count="9">
    <x:tableColumn id="1" name="ID material"/>
    <x:tableColumn id="2" name="Descripción"/>
    <x:tableColumn id="3" name="Unidad"/>
    <x:tableColumn id="4" name="Saldo inicial"/>
    <x:tableColumn id="5" name="Mínimo"/>
    <x:tableColumn id="6" name="Costo referencia"/>
    <x:tableColumn id="7" name="Entradas"/>
    <x:tableColumn id="8" name="Consumos"/>
    <x:tableColumn id="9" name="Exist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vimientos" displayName="Movimientos" ref="A5:H25" headerRowCount="1" totalsRowCount="0" totalsRowShown="0">
  <x:tableColumns count="8">
    <x:tableColumn id="1" name="ID"/>
    <x:tableColumn id="2" name="Fecha"/>
    <x:tableColumn id="3" name="Tipo"/>
    <x:tableColumn id="4" name="Material"/>
    <x:tableColumn id="5" name="Cantidad"/>
    <x:tableColumn id="6" name="Visita"/>
    <x:tableColumn id="7" name="Costo unitario"/>
    <x:tableColumn id="8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85f4aea99e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e9943d2776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8f07fb74d841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GridPilot · Visitas e inventario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DEMOSTRACIÓN — datos ficticios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Desde</x:v>
      </x:c>
      <x:c r="B5" s="10" t="n">
        <x:v>46296</x:v>
      </x:c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A6" s="1" t="str">
        <x:v>Hasta</x:v>
      </x:c>
      <x:c r="B6" s="10" t="n">
        <x:v>46326</x:v>
      </x:c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4" customHeight="1">
      <x:c r="A8" s="5" t="str">
        <x:v>Indicador</x:v>
      </x:c>
      <x:c r="B8" s="5" t="str">
        <x:v>Resultado</x:v>
      </x:c>
      <x:c r="C8" s="1"/>
      <x:c r="D8" s="1"/>
      <x:c r="E8" s="1"/>
      <x:c r="F8" s="1"/>
      <x:c r="G8" s="1"/>
      <x:c r="H8" s="1"/>
      <x:c r="I8" s="1"/>
      <x:c r="J8" s="1"/>
    </x:row>
    <x:row r="9" ht="24" customHeight="1">
      <x:c r="A9" s="1" t="str">
        <x:v>Visitas realizadas</x:v>
      </x:c>
      <x:c r="B9" s="1" t="n">
        <x:f>COUNTIFS(Visitas[Estado],"Realizada",Visitas[Fecha],"&gt;="&amp;B5,Visitas[Fecha],"&lt;="&amp;B6)</x:f>
        <x:v>8</x:v>
      </x:c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 t="str">
        <x:v>Costo de materiales del período</x:v>
      </x:c>
      <x:c r="B10" s="15" t="n">
        <x:f>SUMIFS(Movimientos[Importe],Movimientos[Tipo],"Consumo",Movimientos[Fecha],"&gt;="&amp;B5,Movimientos[Fecha],"&lt;="&amp;B6)</x:f>
        <x:v>550</x:v>
      </x:c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 t="str">
        <x:v>Materiales bajo mínimo</x:v>
      </x:c>
      <x:c r="B11" s="1" t="n">
        <x:f>SUMPRODUCT(--(Inventario[Existencia]&lt;Inventario[Mínimo]))</x:f>
        <x:v>0</x:v>
      </x:c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4" customHeight="1">
      <x:c r="A14" s="1" t="str">
        <x:v>Amarillo: entradas editables. Azul claro: cálculos.</x:v>
      </x:c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Visitas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DEMOSTRACIÓN — datos ficticios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6" t="str">
        <x:v>ID</x:v>
      </x:c>
      <x:c r="B5" s="6" t="str">
        <x:v>Fecha</x:v>
      </x:c>
      <x:c r="C5" s="6" t="str">
        <x:v>Cliente</x:v>
      </x:c>
      <x:c r="D5" s="6" t="str">
        <x:v>Sitio</x:v>
      </x:c>
      <x:c r="E5" s="6" t="str">
        <x:v>Técnico</x:v>
      </x:c>
      <x:c r="F5" s="6" t="str">
        <x:v>Estado</x:v>
      </x:c>
      <x:c r="G5" s="6" t="str">
        <x:v>Trabajo</x:v>
      </x:c>
      <x:c r="H5" s="6" t="str">
        <x:v>Costo materiales</x:v>
      </x:c>
      <x:c r="I5" s="1"/>
      <x:c r="J5" s="1"/>
    </x:row>
    <x:row r="6" ht="24" customHeight="1">
      <x:c r="A6" s="8" t="str">
        <x:v>V001</x:v>
      </x:c>
      <x:c r="B6" s="10" t="n">
        <x:v>46296</x:v>
      </x:c>
      <x:c r="C6" s="7" t="str">
        <x:v>Cliente demo 1</x:v>
      </x:c>
      <x:c r="D6" s="7" t="str">
        <x:v>Sitio 1</x:v>
      </x:c>
      <x:c r="E6" s="7" t="str">
        <x:v>Luis</x:v>
      </x:c>
      <x:c r="F6" s="7" t="str">
        <x:v>Realizada</x:v>
      </x:c>
      <x:c r="G6" s="7" t="str">
        <x:v>Mantenimiento preventivo</x:v>
      </x:c>
      <x:c r="H6" s="13" t="n">
        <x:f>SUMIFS(Movimientos[Importe],Movimientos[Visita],A6,Movimientos[Tipo],"Consumo")</x:f>
        <x:v>100</x:v>
      </x:c>
      <x:c r="I6" s="1"/>
      <x:c r="J6" s="1"/>
    </x:row>
    <x:row r="7" ht="24" customHeight="1">
      <x:c r="A7" s="8" t="str">
        <x:v>V002</x:v>
      </x:c>
      <x:c r="B7" s="10" t="n">
        <x:v>46297</x:v>
      </x:c>
      <x:c r="C7" s="7" t="str">
        <x:v>Cliente demo 2</x:v>
      </x:c>
      <x:c r="D7" s="7" t="str">
        <x:v>Sitio 2</x:v>
      </x:c>
      <x:c r="E7" s="7" t="str">
        <x:v>Ana</x:v>
      </x:c>
      <x:c r="F7" s="7" t="str">
        <x:v>Realizada</x:v>
      </x:c>
      <x:c r="G7" s="7" t="str">
        <x:v>Mantenimiento preventivo</x:v>
      </x:c>
      <x:c r="H7" s="13" t="n">
        <x:f>SUMIFS(Movimientos[Importe],Movimientos[Visita],A7,Movimientos[Tipo],"Consumo")</x:f>
        <x:v>120</x:v>
      </x:c>
      <x:c r="I7" s="1"/>
      <x:c r="J7" s="1"/>
    </x:row>
    <x:row r="8" ht="24" customHeight="1">
      <x:c r="A8" s="8" t="str">
        <x:v>V003</x:v>
      </x:c>
      <x:c r="B8" s="10" t="n">
        <x:v>46298</x:v>
      </x:c>
      <x:c r="C8" s="7" t="str">
        <x:v>Cliente demo 3</x:v>
      </x:c>
      <x:c r="D8" s="7" t="str">
        <x:v>Sitio 3</x:v>
      </x:c>
      <x:c r="E8" s="7" t="str">
        <x:v>Luis</x:v>
      </x:c>
      <x:c r="F8" s="7" t="str">
        <x:v>Realizada</x:v>
      </x:c>
      <x:c r="G8" s="7" t="str">
        <x:v>Mantenimiento preventivo</x:v>
      </x:c>
      <x:c r="H8" s="13" t="n">
        <x:f>SUMIFS(Movimientos[Importe],Movimientos[Visita],A8,Movimientos[Tipo],"Consumo")</x:f>
        <x:v>30</x:v>
      </x:c>
      <x:c r="I8" s="1"/>
      <x:c r="J8" s="1"/>
    </x:row>
    <x:row r="9" ht="24" customHeight="1">
      <x:c r="A9" s="8" t="str">
        <x:v>V004</x:v>
      </x:c>
      <x:c r="B9" s="10" t="n">
        <x:v>46299</x:v>
      </x:c>
      <x:c r="C9" s="7" t="str">
        <x:v>Cliente demo 4</x:v>
      </x:c>
      <x:c r="D9" s="7" t="str">
        <x:v>Sitio 4</x:v>
      </x:c>
      <x:c r="E9" s="7" t="str">
        <x:v>Ana</x:v>
      </x:c>
      <x:c r="F9" s="7" t="str">
        <x:v>Realizada</x:v>
      </x:c>
      <x:c r="G9" s="7" t="str">
        <x:v>Mantenimiento preventivo</x:v>
      </x:c>
      <x:c r="H9" s="13" t="n">
        <x:f>SUMIFS(Movimientos[Importe],Movimientos[Visita],A9,Movimientos[Tipo],"Consumo")</x:f>
        <x:v>40</x:v>
      </x:c>
      <x:c r="I9" s="1"/>
      <x:c r="J9" s="1"/>
    </x:row>
    <x:row r="10" ht="24" customHeight="1">
      <x:c r="A10" s="8" t="str">
        <x:v>V005</x:v>
      </x:c>
      <x:c r="B10" s="10" t="n">
        <x:v>46300</x:v>
      </x:c>
      <x:c r="C10" s="7" t="str">
        <x:v>Cliente demo 5</x:v>
      </x:c>
      <x:c r="D10" s="7" t="str">
        <x:v>Sitio 5</x:v>
      </x:c>
      <x:c r="E10" s="7" t="str">
        <x:v>Luis</x:v>
      </x:c>
      <x:c r="F10" s="7" t="str">
        <x:v>Realizada</x:v>
      </x:c>
      <x:c r="G10" s="7" t="str">
        <x:v>Mantenimiento preventivo</x:v>
      </x:c>
      <x:c r="H10" s="13" t="n">
        <x:f>SUMIFS(Movimientos[Importe],Movimientos[Visita],A10,Movimientos[Tipo],"Consumo")</x:f>
        <x:v>50</x:v>
      </x:c>
      <x:c r="I10" s="1"/>
      <x:c r="J10" s="1"/>
    </x:row>
    <x:row r="11" ht="24" customHeight="1">
      <x:c r="A11" s="8" t="str">
        <x:v>V006</x:v>
      </x:c>
      <x:c r="B11" s="10" t="n">
        <x:v>46301</x:v>
      </x:c>
      <x:c r="C11" s="7" t="str">
        <x:v>Cliente demo 6</x:v>
      </x:c>
      <x:c r="D11" s="7" t="str">
        <x:v>Sitio 6</x:v>
      </x:c>
      <x:c r="E11" s="7" t="str">
        <x:v>Ana</x:v>
      </x:c>
      <x:c r="F11" s="7" t="str">
        <x:v>Realizada</x:v>
      </x:c>
      <x:c r="G11" s="7" t="str">
        <x:v>Mantenimiento preventivo</x:v>
      </x:c>
      <x:c r="H11" s="13" t="n">
        <x:f>SUMIFS(Movimientos[Importe],Movimientos[Visita],A11,Movimientos[Tipo],"Consumo")</x:f>
        <x:v>60</x:v>
      </x:c>
      <x:c r="I11" s="1"/>
      <x:c r="J11" s="1"/>
    </x:row>
    <x:row r="12" ht="24" customHeight="1">
      <x:c r="A12" s="8" t="str">
        <x:v>V007</x:v>
      </x:c>
      <x:c r="B12" s="10" t="n">
        <x:v>46302</x:v>
      </x:c>
      <x:c r="C12" s="7" t="str">
        <x:v>Cliente demo 7</x:v>
      </x:c>
      <x:c r="D12" s="7" t="str">
        <x:v>Sitio 7</x:v>
      </x:c>
      <x:c r="E12" s="7" t="str">
        <x:v>Luis</x:v>
      </x:c>
      <x:c r="F12" s="7" t="str">
        <x:v>Realizada</x:v>
      </x:c>
      <x:c r="G12" s="7" t="str">
        <x:v>Mantenimiento preventivo</x:v>
      </x:c>
      <x:c r="H12" s="13" t="n">
        <x:f>SUMIFS(Movimientos[Importe],Movimientos[Visita],A12,Movimientos[Tipo],"Consumo")</x:f>
        <x:v>70</x:v>
      </x:c>
      <x:c r="I12" s="1"/>
      <x:c r="J12" s="1"/>
    </x:row>
    <x:row r="13" ht="24" customHeight="1">
      <x:c r="A13" s="8" t="str">
        <x:v>V008</x:v>
      </x:c>
      <x:c r="B13" s="10" t="n">
        <x:v>46303</x:v>
      </x:c>
      <x:c r="C13" s="7" t="str">
        <x:v>Cliente demo 8</x:v>
      </x:c>
      <x:c r="D13" s="7" t="str">
        <x:v>Sitio 8</x:v>
      </x:c>
      <x:c r="E13" s="7" t="str">
        <x:v>Ana</x:v>
      </x:c>
      <x:c r="F13" s="7" t="str">
        <x:v>Realizada</x:v>
      </x:c>
      <x:c r="G13" s="7" t="str">
        <x:v>Mantenimiento preventivo</x:v>
      </x:c>
      <x:c r="H13" s="13" t="n">
        <x:f>SUMIFS(Movimientos[Importe],Movimientos[Visita],A13,Movimientos[Tipo],"Consumo")</x:f>
        <x:v>80</x:v>
      </x:c>
      <x:c r="I13" s="1"/>
      <x:c r="J13" s="1"/>
    </x:row>
    <x:row r="14" ht="24" customHeight="1">
      <x:c r="A14" s="8" t="str">
        <x:v>V009</x:v>
      </x:c>
      <x:c r="B14" s="10" t="n">
        <x:v>46304</x:v>
      </x:c>
      <x:c r="C14" s="7" t="str">
        <x:v>Cliente demo 9</x:v>
      </x:c>
      <x:c r="D14" s="7" t="str">
        <x:v>Sitio 9</x:v>
      </x:c>
      <x:c r="E14" s="7" t="str">
        <x:v>Luis</x:v>
      </x:c>
      <x:c r="F14" s="7" t="str">
        <x:v>Programada</x:v>
      </x:c>
      <x:c r="G14" s="7" t="str">
        <x:v>Mantenimiento preventivo</x:v>
      </x:c>
      <x:c r="H14" s="13" t="n">
        <x:f>SUMIFS(Movimientos[Importe],Movimientos[Visita],A14,Movimientos[Tipo],"Consumo")</x:f>
        <x:v>0</x:v>
      </x:c>
      <x:c r="I14" s="1"/>
      <x:c r="J14" s="1"/>
    </x:row>
    <x:row r="15" ht="24" customHeight="1">
      <x:c r="A15" s="8" t="str">
        <x:v>V010</x:v>
      </x:c>
      <x:c r="B15" s="10" t="n">
        <x:v>46305</x:v>
      </x:c>
      <x:c r="C15" s="7" t="str">
        <x:v>Cliente demo 10</x:v>
      </x:c>
      <x:c r="D15" s="7" t="str">
        <x:v>Sitio 10</x:v>
      </x:c>
      <x:c r="E15" s="7" t="str">
        <x:v>Ana</x:v>
      </x:c>
      <x:c r="F15" s="7" t="str">
        <x:v>Programada</x:v>
      </x:c>
      <x:c r="G15" s="7" t="str">
        <x:v>Mantenimiento preventivo</x:v>
      </x:c>
      <x:c r="H15" s="13" t="n">
        <x:f>SUMIFS(Movimientos[Importe],Movimientos[Visita],A15,Movimientos[Tipo],"Consumo")</x:f>
        <x:v>0</x:v>
      </x:c>
      <x:c r="I15" s="1"/>
      <x:c r="J15" s="1"/>
    </x:row>
    <x:row r="16" ht="24" customHeight="1">
      <x:c r="A16" s="9"/>
      <x:c r="B16" s="1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9"/>
      <x:c r="B17" s="11"/>
      <x:c r="C17" s="1"/>
      <x:c r="D17" s="1"/>
      <x:c r="E17" s="1"/>
      <x:c r="F17" s="1"/>
      <x:c r="G17" s="1"/>
      <x:c r="H17" s="1"/>
      <x:c r="I17" s="1"/>
      <x:c r="J17" s="1"/>
    </x:row>
    <x:row r="18" ht="24" customHeight="1">
      <x:c r="A18" s="9"/>
      <x:c r="B18" s="11"/>
      <x:c r="C18" s="1"/>
      <x:c r="D18" s="1"/>
      <x:c r="E18" s="1"/>
      <x:c r="F18" s="1"/>
      <x:c r="G18" s="1"/>
      <x:c r="H18" s="1"/>
      <x:c r="I18" s="1"/>
      <x:c r="J18" s="1"/>
    </x:row>
    <x:row r="19" ht="24" customHeight="1">
      <x:c r="A19" s="9"/>
      <x:c r="B19" s="11"/>
      <x:c r="C19" s="1"/>
      <x:c r="D19" s="1"/>
      <x:c r="E19" s="1"/>
      <x:c r="F19" s="1"/>
      <x:c r="G19" s="1"/>
      <x:c r="H19" s="1"/>
      <x:c r="I19" s="1"/>
      <x:c r="J19" s="1"/>
    </x:row>
    <x:row r="20" ht="24" customHeight="1">
      <x:c r="A20" s="9"/>
      <x:c r="B20" s="1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9"/>
      <x:c r="B21" s="1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9"/>
      <x:c r="B22" s="11"/>
      <x:c r="C22" s="1"/>
      <x:c r="D22" s="1"/>
      <x:c r="E22" s="1"/>
      <x:c r="F22" s="1"/>
      <x:c r="G22" s="1"/>
      <x:c r="H22" s="1"/>
      <x:c r="I22" s="1"/>
      <x:c r="J22" s="1"/>
    </x:row>
    <x:row r="23" ht="24" customHeight="1">
      <x:c r="A23" s="9"/>
      <x:c r="B23" s="1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9"/>
      <x:c r="B24" s="1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9"/>
      <x:c r="B25" s="1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dataValidations count="1">
    <x:dataValidation type="list" sqref="F6:F15">
      <x:formula1>"Programada,Realizada"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85f4aea99e4a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Inventario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DEMOSTRACIÓN — datos ficticios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6" t="str">
        <x:v>ID material</x:v>
      </x:c>
      <x:c r="B5" s="6" t="str">
        <x:v>Descripción</x:v>
      </x:c>
      <x:c r="C5" s="6" t="str">
        <x:v>Unidad</x:v>
      </x:c>
      <x:c r="D5" s="6" t="str">
        <x:v>Saldo inicial</x:v>
      </x:c>
      <x:c r="E5" s="6" t="str">
        <x:v>Mínimo</x:v>
      </x:c>
      <x:c r="F5" s="6" t="str">
        <x:v>Costo referencia</x:v>
      </x:c>
      <x:c r="G5" s="6" t="str">
        <x:v>Entradas</x:v>
      </x:c>
      <x:c r="H5" s="6" t="str">
        <x:v>Consumos</x:v>
      </x:c>
      <x:c r="I5" s="6" t="str">
        <x:v>Existencia</x:v>
      </x:c>
      <x:c r="J5" s="1"/>
    </x:row>
    <x:row r="6" ht="24" customHeight="1">
      <x:c r="A6" s="8" t="str">
        <x:v>M001</x:v>
      </x:c>
      <x:c r="B6" s="7" t="str">
        <x:v>Cable UTP</x:v>
      </x:c>
      <x:c r="C6" s="7" t="str">
        <x:v>pieza</x:v>
      </x:c>
      <x:c r="D6" s="7" t="n">
        <x:v>20</x:v>
      </x:c>
      <x:c r="E6" s="7" t="n">
        <x:v>10</x:v>
      </x:c>
      <x:c r="F6" s="12" t="n">
        <x:v>5</x:v>
      </x:c>
      <x:c r="G6" s="14" t="n">
        <x:f>SUMIFS(Movimientos[Cantidad],Movimientos[Material],A6,Movimientos[Tipo],"Entrada")</x:f>
        <x:v>10</x:v>
      </x:c>
      <x:c r="H6" s="14" t="n">
        <x:f>SUMIFS(Movimientos[Cantidad],Movimientos[Material],A6,Movimientos[Tipo],"Consumo")</x:f>
        <x:v>2</x:v>
      </x:c>
      <x:c r="I6" s="14" t="n">
        <x:f>D6+G6-H6</x:f>
        <x:v>28</x:v>
      </x:c>
      <x:c r="J6" s="1"/>
    </x:row>
    <x:row r="7" ht="24" customHeight="1">
      <x:c r="A7" s="8" t="str">
        <x:v>M002</x:v>
      </x:c>
      <x:c r="B7" s="7" t="str">
        <x:v>Conector RJ45</x:v>
      </x:c>
      <x:c r="C7" s="7" t="str">
        <x:v>pieza</x:v>
      </x:c>
      <x:c r="D7" s="7" t="n">
        <x:v>21</x:v>
      </x:c>
      <x:c r="E7" s="7" t="n">
        <x:v>10</x:v>
      </x:c>
      <x:c r="F7" s="12" t="n">
        <x:v>10</x:v>
      </x:c>
      <x:c r="G7" s="14" t="n">
        <x:f>SUMIFS(Movimientos[Cantidad],Movimientos[Material],A7,Movimientos[Tipo],"Entrada")</x:f>
        <x:v>10</x:v>
      </x:c>
      <x:c r="H7" s="14" t="n">
        <x:f>SUMIFS(Movimientos[Cantidad],Movimientos[Material],A7,Movimientos[Tipo],"Consumo")</x:f>
        <x:v>2</x:v>
      </x:c>
      <x:c r="I7" s="14" t="n">
        <x:f>D7+G7-H7</x:f>
        <x:v>29</x:v>
      </x:c>
      <x:c r="J7" s="1"/>
    </x:row>
    <x:row r="8" ht="24" customHeight="1">
      <x:c r="A8" s="8" t="str">
        <x:v>M003</x:v>
      </x:c>
      <x:c r="B8" s="7" t="str">
        <x:v>Canaleta</x:v>
      </x:c>
      <x:c r="C8" s="7" t="str">
        <x:v>pieza</x:v>
      </x:c>
      <x:c r="D8" s="7" t="n">
        <x:v>22</x:v>
      </x:c>
      <x:c r="E8" s="7" t="n">
        <x:v>10</x:v>
      </x:c>
      <x:c r="F8" s="12" t="n">
        <x:v>15</x:v>
      </x:c>
      <x:c r="G8" s="14" t="n">
        <x:f>SUMIFS(Movimientos[Cantidad],Movimientos[Material],A8,Movimientos[Tipo],"Entrada")</x:f>
        <x:v>10</x:v>
      </x:c>
      <x:c r="H8" s="14" t="n">
        <x:f>SUMIFS(Movimientos[Cantidad],Movimientos[Material],A8,Movimientos[Tipo],"Consumo")</x:f>
        <x:v>2</x:v>
      </x:c>
      <x:c r="I8" s="14" t="n">
        <x:f>D8+G8-H8</x:f>
        <x:v>30</x:v>
      </x:c>
      <x:c r="J8" s="1"/>
    </x:row>
    <x:row r="9" ht="24" customHeight="1">
      <x:c r="A9" s="8" t="str">
        <x:v>M004</x:v>
      </x:c>
      <x:c r="B9" s="7" t="str">
        <x:v>Cinta aislante</x:v>
      </x:c>
      <x:c r="C9" s="7" t="str">
        <x:v>pieza</x:v>
      </x:c>
      <x:c r="D9" s="7" t="n">
        <x:v>23</x:v>
      </x:c>
      <x:c r="E9" s="7" t="n">
        <x:v>10</x:v>
      </x:c>
      <x:c r="F9" s="12" t="n">
        <x:v>20</x:v>
      </x:c>
      <x:c r="G9" s="14" t="n">
        <x:f>SUMIFS(Movimientos[Cantidad],Movimientos[Material],A9,Movimientos[Tipo],"Entrada")</x:f>
        <x:v>10</x:v>
      </x:c>
      <x:c r="H9" s="14" t="n">
        <x:f>SUMIFS(Movimientos[Cantidad],Movimientos[Material],A9,Movimientos[Tipo],"Consumo")</x:f>
        <x:v>2</x:v>
      </x:c>
      <x:c r="I9" s="14" t="n">
        <x:f>D9+G9-H9</x:f>
        <x:v>31</x:v>
      </x:c>
      <x:c r="J9" s="1"/>
    </x:row>
    <x:row r="10" ht="24" customHeight="1">
      <x:c r="A10" s="8" t="str">
        <x:v>M005</x:v>
      </x:c>
      <x:c r="B10" s="7" t="str">
        <x:v>Tornillo</x:v>
      </x:c>
      <x:c r="C10" s="7" t="str">
        <x:v>pieza</x:v>
      </x:c>
      <x:c r="D10" s="7" t="n">
        <x:v>24</x:v>
      </x:c>
      <x:c r="E10" s="7" t="n">
        <x:v>10</x:v>
      </x:c>
      <x:c r="F10" s="12" t="n">
        <x:v>25</x:v>
      </x:c>
      <x:c r="G10" s="14" t="n">
        <x:f>SUMIFS(Movimientos[Cantidad],Movimientos[Material],A10,Movimientos[Tipo],"Entrada")</x:f>
        <x:v>10</x:v>
      </x:c>
      <x:c r="H10" s="14" t="n">
        <x:f>SUMIFS(Movimientos[Cantidad],Movimientos[Material],A10,Movimientos[Tipo],"Consumo")</x:f>
        <x:v>2</x:v>
      </x:c>
      <x:c r="I10" s="14" t="n">
        <x:f>D10+G10-H10</x:f>
        <x:v>32</x:v>
      </x:c>
      <x:c r="J10" s="1"/>
    </x:row>
    <x:row r="11" ht="24" customHeight="1">
      <x:c r="A11" s="8" t="str">
        <x:v>M006</x:v>
      </x:c>
      <x:c r="B11" s="7" t="str">
        <x:v>Taquete</x:v>
      </x:c>
      <x:c r="C11" s="7" t="str">
        <x:v>pieza</x:v>
      </x:c>
      <x:c r="D11" s="7" t="n">
        <x:v>25</x:v>
      </x:c>
      <x:c r="E11" s="7" t="n">
        <x:v>10</x:v>
      </x:c>
      <x:c r="F11" s="12" t="n">
        <x:v>30</x:v>
      </x:c>
      <x:c r="G11" s="14" t="n">
        <x:f>SUMIFS(Movimientos[Cantidad],Movimientos[Material],A11,Movimientos[Tipo],"Entrada")</x:f>
        <x:v>10</x:v>
      </x:c>
      <x:c r="H11" s="14" t="n">
        <x:f>SUMIFS(Movimientos[Cantidad],Movimientos[Material],A11,Movimientos[Tipo],"Consumo")</x:f>
        <x:v>2</x:v>
      </x:c>
      <x:c r="I11" s="14" t="n">
        <x:f>D11+G11-H11</x:f>
        <x:v>33</x:v>
      </x:c>
      <x:c r="J11" s="1"/>
    </x:row>
    <x:row r="12" ht="24" customHeight="1">
      <x:c r="A12" s="8" t="str">
        <x:v>M007</x:v>
      </x:c>
      <x:c r="B12" s="7" t="str">
        <x:v>Adaptador</x:v>
      </x:c>
      <x:c r="C12" s="7" t="str">
        <x:v>pieza</x:v>
      </x:c>
      <x:c r="D12" s="7" t="n">
        <x:v>26</x:v>
      </x:c>
      <x:c r="E12" s="7" t="n">
        <x:v>10</x:v>
      </x:c>
      <x:c r="F12" s="12" t="n">
        <x:v>35</x:v>
      </x:c>
      <x:c r="G12" s="14" t="n">
        <x:f>SUMIFS(Movimientos[Cantidad],Movimientos[Material],A12,Movimientos[Tipo],"Entrada")</x:f>
        <x:v>10</x:v>
      </x:c>
      <x:c r="H12" s="14" t="n">
        <x:f>SUMIFS(Movimientos[Cantidad],Movimientos[Material],A12,Movimientos[Tipo],"Consumo")</x:f>
        <x:v>2</x:v>
      </x:c>
      <x:c r="I12" s="14" t="n">
        <x:f>D12+G12-H12</x:f>
        <x:v>34</x:v>
      </x:c>
      <x:c r="J12" s="1"/>
    </x:row>
    <x:row r="13" ht="24" customHeight="1">
      <x:c r="A13" s="8" t="str">
        <x:v>M008</x:v>
      </x:c>
      <x:c r="B13" s="7" t="str">
        <x:v>Fusible</x:v>
      </x:c>
      <x:c r="C13" s="7" t="str">
        <x:v>pieza</x:v>
      </x:c>
      <x:c r="D13" s="7" t="n">
        <x:v>27</x:v>
      </x:c>
      <x:c r="E13" s="7" t="n">
        <x:v>10</x:v>
      </x:c>
      <x:c r="F13" s="12" t="n">
        <x:v>40</x:v>
      </x:c>
      <x:c r="G13" s="14" t="n">
        <x:f>SUMIFS(Movimientos[Cantidad],Movimientos[Material],A13,Movimientos[Tipo],"Entrada")</x:f>
        <x:v>10</x:v>
      </x:c>
      <x:c r="H13" s="14" t="n">
        <x:f>SUMIFS(Movimientos[Cantidad],Movimientos[Material],A13,Movimientos[Tipo],"Consumo")</x:f>
        <x:v>2</x:v>
      </x:c>
      <x:c r="I13" s="14" t="n">
        <x:f>D13+G13-H13</x:f>
        <x:v>35</x:v>
      </x:c>
      <x:c r="J13" s="1"/>
    </x:row>
    <x:row r="14" ht="24" customHeight="1">
      <x:c r="A14" s="8" t="str">
        <x:v>M009</x:v>
      </x:c>
      <x:c r="B14" s="7" t="str">
        <x:v>Terminal</x:v>
      </x:c>
      <x:c r="C14" s="7" t="str">
        <x:v>pieza</x:v>
      </x:c>
      <x:c r="D14" s="7" t="n">
        <x:v>28</x:v>
      </x:c>
      <x:c r="E14" s="7" t="n">
        <x:v>10</x:v>
      </x:c>
      <x:c r="F14" s="12" t="n">
        <x:v>45</x:v>
      </x:c>
      <x:c r="G14" s="14" t="n">
        <x:f>SUMIFS(Movimientos[Cantidad],Movimientos[Material],A14,Movimientos[Tipo],"Entrada")</x:f>
        <x:v>10</x:v>
      </x:c>
      <x:c r="H14" s="14" t="n">
        <x:f>SUMIFS(Movimientos[Cantidad],Movimientos[Material],A14,Movimientos[Tipo],"Consumo")</x:f>
        <x:v>2</x:v>
      </x:c>
      <x:c r="I14" s="14" t="n">
        <x:f>D14+G14-H14</x:f>
        <x:v>36</x:v>
      </x:c>
      <x:c r="J14" s="1"/>
    </x:row>
    <x:row r="15" ht="24" customHeight="1">
      <x:c r="A15" s="8" t="str">
        <x:v>M010</x:v>
      </x:c>
      <x:c r="B15" s="7" t="str">
        <x:v>Brida</x:v>
      </x:c>
      <x:c r="C15" s="7" t="str">
        <x:v>pieza</x:v>
      </x:c>
      <x:c r="D15" s="7" t="n">
        <x:v>29</x:v>
      </x:c>
      <x:c r="E15" s="7" t="n">
        <x:v>10</x:v>
      </x:c>
      <x:c r="F15" s="12" t="n">
        <x:v>50</x:v>
      </x:c>
      <x:c r="G15" s="14" t="n">
        <x:f>SUMIFS(Movimientos[Cantidad],Movimientos[Material],A15,Movimientos[Tipo],"Entrada")</x:f>
        <x:v>10</x:v>
      </x:c>
      <x:c r="H15" s="14" t="n">
        <x:f>SUMIFS(Movimientos[Cantidad],Movimientos[Material],A15,Movimientos[Tipo],"Consumo")</x:f>
        <x:v>2</x:v>
      </x:c>
      <x:c r="I15" s="14" t="n">
        <x:f>D15+G15-H15</x:f>
        <x:v>37</x:v>
      </x:c>
      <x:c r="J15" s="1"/>
    </x:row>
    <x:row r="16" ht="24" customHeight="1">
      <x:c r="A16" s="9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9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4" customHeight="1">
      <x:c r="A18" s="9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4" customHeight="1">
      <x:c r="A19" s="9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4" customHeight="1">
      <x:c r="A20" s="9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9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9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4" customHeight="1">
      <x:c r="A23" s="9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9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9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conditionalFormatting sqref="I6:I15">
    <x:cfRule type="expression" dxfId="0" priority="1">
      <x:formula>I6&lt;E6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e9943d2776497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Movimientos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DEMOSTRACIÓN — datos ficticios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6" t="str">
        <x:v>ID</x:v>
      </x:c>
      <x:c r="B5" s="6" t="str">
        <x:v>Fecha</x:v>
      </x:c>
      <x:c r="C5" s="6" t="str">
        <x:v>Tipo</x:v>
      </x:c>
      <x:c r="D5" s="6" t="str">
        <x:v>Material</x:v>
      </x:c>
      <x:c r="E5" s="6" t="str">
        <x:v>Cantidad</x:v>
      </x:c>
      <x:c r="F5" s="6" t="str">
        <x:v>Visita</x:v>
      </x:c>
      <x:c r="G5" s="6" t="str">
        <x:v>Costo unitario</x:v>
      </x:c>
      <x:c r="H5" s="6" t="str">
        <x:v>Importe</x:v>
      </x:c>
      <x:c r="I5" s="1"/>
      <x:c r="J5" s="1"/>
    </x:row>
    <x:row r="6" ht="24" customHeight="1">
      <x:c r="A6" s="8" t="str">
        <x:v>MOV001</x:v>
      </x:c>
      <x:c r="B6" s="10" t="n">
        <x:v>46296</x:v>
      </x:c>
      <x:c r="C6" s="7" t="str">
        <x:v>Entrada</x:v>
      </x:c>
      <x:c r="D6" s="7" t="str">
        <x:v>M001</x:v>
      </x:c>
      <x:c r="E6" s="7" t="n">
        <x:v>10</x:v>
      </x:c>
      <x:c r="F6" s="7" t="str"/>
      <x:c r="G6" s="12" t="n">
        <x:v>5</x:v>
      </x:c>
      <x:c r="H6" s="13" t="n">
        <x:f>E6*G6</x:f>
        <x:v>50</x:v>
      </x:c>
      <x:c r="I6" s="1"/>
      <x:c r="J6" s="1"/>
    </x:row>
    <x:row r="7" ht="24" customHeight="1">
      <x:c r="A7" s="8" t="str">
        <x:v>MOV002</x:v>
      </x:c>
      <x:c r="B7" s="10" t="n">
        <x:v>46296</x:v>
      </x:c>
      <x:c r="C7" s="7" t="str">
        <x:v>Entrada</x:v>
      </x:c>
      <x:c r="D7" s="7" t="str">
        <x:v>M002</x:v>
      </x:c>
      <x:c r="E7" s="7" t="n">
        <x:v>10</x:v>
      </x:c>
      <x:c r="F7" s="7" t="str"/>
      <x:c r="G7" s="12" t="n">
        <x:v>10</x:v>
      </x:c>
      <x:c r="H7" s="13" t="n">
        <x:f>E7*G7</x:f>
        <x:v>100</x:v>
      </x:c>
      <x:c r="I7" s="1"/>
      <x:c r="J7" s="1"/>
    </x:row>
    <x:row r="8" ht="24" customHeight="1">
      <x:c r="A8" s="8" t="str">
        <x:v>MOV003</x:v>
      </x:c>
      <x:c r="B8" s="10" t="n">
        <x:v>46296</x:v>
      </x:c>
      <x:c r="C8" s="7" t="str">
        <x:v>Entrada</x:v>
      </x:c>
      <x:c r="D8" s="7" t="str">
        <x:v>M003</x:v>
      </x:c>
      <x:c r="E8" s="7" t="n">
        <x:v>10</x:v>
      </x:c>
      <x:c r="F8" s="7" t="str"/>
      <x:c r="G8" s="12" t="n">
        <x:v>15</x:v>
      </x:c>
      <x:c r="H8" s="13" t="n">
        <x:f>E8*G8</x:f>
        <x:v>150</x:v>
      </x:c>
      <x:c r="I8" s="1"/>
      <x:c r="J8" s="1"/>
    </x:row>
    <x:row r="9" ht="24" customHeight="1">
      <x:c r="A9" s="8" t="str">
        <x:v>MOV004</x:v>
      </x:c>
      <x:c r="B9" s="10" t="n">
        <x:v>46296</x:v>
      </x:c>
      <x:c r="C9" s="7" t="str">
        <x:v>Entrada</x:v>
      </x:c>
      <x:c r="D9" s="7" t="str">
        <x:v>M004</x:v>
      </x:c>
      <x:c r="E9" s="7" t="n">
        <x:v>10</x:v>
      </x:c>
      <x:c r="F9" s="7" t="str"/>
      <x:c r="G9" s="12" t="n">
        <x:v>20</x:v>
      </x:c>
      <x:c r="H9" s="13" t="n">
        <x:f>E9*G9</x:f>
        <x:v>200</x:v>
      </x:c>
      <x:c r="I9" s="1"/>
      <x:c r="J9" s="1"/>
    </x:row>
    <x:row r="10" ht="24" customHeight="1">
      <x:c r="A10" s="8" t="str">
        <x:v>MOV005</x:v>
      </x:c>
      <x:c r="B10" s="10" t="n">
        <x:v>46296</x:v>
      </x:c>
      <x:c r="C10" s="7" t="str">
        <x:v>Entrada</x:v>
      </x:c>
      <x:c r="D10" s="7" t="str">
        <x:v>M005</x:v>
      </x:c>
      <x:c r="E10" s="7" t="n">
        <x:v>10</x:v>
      </x:c>
      <x:c r="F10" s="7" t="str"/>
      <x:c r="G10" s="12" t="n">
        <x:v>25</x:v>
      </x:c>
      <x:c r="H10" s="13" t="n">
        <x:f>E10*G10</x:f>
        <x:v>250</x:v>
      </x:c>
      <x:c r="I10" s="1"/>
      <x:c r="J10" s="1"/>
    </x:row>
    <x:row r="11" ht="24" customHeight="1">
      <x:c r="A11" s="8" t="str">
        <x:v>MOV006</x:v>
      </x:c>
      <x:c r="B11" s="10" t="n">
        <x:v>46296</x:v>
      </x:c>
      <x:c r="C11" s="7" t="str">
        <x:v>Entrada</x:v>
      </x:c>
      <x:c r="D11" s="7" t="str">
        <x:v>M006</x:v>
      </x:c>
      <x:c r="E11" s="7" t="n">
        <x:v>10</x:v>
      </x:c>
      <x:c r="F11" s="7" t="str"/>
      <x:c r="G11" s="12" t="n">
        <x:v>30</x:v>
      </x:c>
      <x:c r="H11" s="13" t="n">
        <x:f>E11*G11</x:f>
        <x:v>300</x:v>
      </x:c>
      <x:c r="I11" s="1"/>
      <x:c r="J11" s="1"/>
    </x:row>
    <x:row r="12" ht="24" customHeight="1">
      <x:c r="A12" s="8" t="str">
        <x:v>MOV007</x:v>
      </x:c>
      <x:c r="B12" s="10" t="n">
        <x:v>46296</x:v>
      </x:c>
      <x:c r="C12" s="7" t="str">
        <x:v>Entrada</x:v>
      </x:c>
      <x:c r="D12" s="7" t="str">
        <x:v>M007</x:v>
      </x:c>
      <x:c r="E12" s="7" t="n">
        <x:v>10</x:v>
      </x:c>
      <x:c r="F12" s="7" t="str"/>
      <x:c r="G12" s="12" t="n">
        <x:v>35</x:v>
      </x:c>
      <x:c r="H12" s="13" t="n">
        <x:f>E12*G12</x:f>
        <x:v>350</x:v>
      </x:c>
      <x:c r="I12" s="1"/>
      <x:c r="J12" s="1"/>
    </x:row>
    <x:row r="13" ht="24" customHeight="1">
      <x:c r="A13" s="8" t="str">
        <x:v>MOV008</x:v>
      </x:c>
      <x:c r="B13" s="10" t="n">
        <x:v>46296</x:v>
      </x:c>
      <x:c r="C13" s="7" t="str">
        <x:v>Entrada</x:v>
      </x:c>
      <x:c r="D13" s="7" t="str">
        <x:v>M008</x:v>
      </x:c>
      <x:c r="E13" s="7" t="n">
        <x:v>10</x:v>
      </x:c>
      <x:c r="F13" s="7" t="str"/>
      <x:c r="G13" s="12" t="n">
        <x:v>40</x:v>
      </x:c>
      <x:c r="H13" s="13" t="n">
        <x:f>E13*G13</x:f>
        <x:v>400</x:v>
      </x:c>
      <x:c r="I13" s="1"/>
      <x:c r="J13" s="1"/>
    </x:row>
    <x:row r="14" ht="24" customHeight="1">
      <x:c r="A14" s="8" t="str">
        <x:v>MOV009</x:v>
      </x:c>
      <x:c r="B14" s="10" t="n">
        <x:v>46296</x:v>
      </x:c>
      <x:c r="C14" s="7" t="str">
        <x:v>Entrada</x:v>
      </x:c>
      <x:c r="D14" s="7" t="str">
        <x:v>M009</x:v>
      </x:c>
      <x:c r="E14" s="7" t="n">
        <x:v>10</x:v>
      </x:c>
      <x:c r="F14" s="7" t="str"/>
      <x:c r="G14" s="12" t="n">
        <x:v>45</x:v>
      </x:c>
      <x:c r="H14" s="13" t="n">
        <x:f>E14*G14</x:f>
        <x:v>450</x:v>
      </x:c>
      <x:c r="I14" s="1"/>
      <x:c r="J14" s="1"/>
    </x:row>
    <x:row r="15" ht="24" customHeight="1">
      <x:c r="A15" s="8" t="str">
        <x:v>MOV010</x:v>
      </x:c>
      <x:c r="B15" s="10" t="n">
        <x:v>46296</x:v>
      </x:c>
      <x:c r="C15" s="7" t="str">
        <x:v>Entrada</x:v>
      </x:c>
      <x:c r="D15" s="7" t="str">
        <x:v>M010</x:v>
      </x:c>
      <x:c r="E15" s="7" t="n">
        <x:v>10</x:v>
      </x:c>
      <x:c r="F15" s="7" t="str"/>
      <x:c r="G15" s="12" t="n">
        <x:v>50</x:v>
      </x:c>
      <x:c r="H15" s="13" t="n">
        <x:f>E15*G15</x:f>
        <x:v>500</x:v>
      </x:c>
      <x:c r="I15" s="1"/>
      <x:c r="J15" s="1"/>
    </x:row>
    <x:row r="16" ht="24" customHeight="1">
      <x:c r="A16" s="8" t="str">
        <x:v>MOV011</x:v>
      </x:c>
      <x:c r="B16" s="10" t="n">
        <x:v>46297</x:v>
      </x:c>
      <x:c r="C16" s="7" t="str">
        <x:v>Consumo</x:v>
      </x:c>
      <x:c r="D16" s="7" t="str">
        <x:v>M001</x:v>
      </x:c>
      <x:c r="E16" s="7" t="n">
        <x:v>2</x:v>
      </x:c>
      <x:c r="F16" s="7" t="str">
        <x:v>V001</x:v>
      </x:c>
      <x:c r="G16" s="12" t="n">
        <x:v>5</x:v>
      </x:c>
      <x:c r="H16" s="13" t="n">
        <x:f>E16*G16</x:f>
        <x:v>10</x:v>
      </x:c>
      <x:c r="I16" s="1"/>
      <x:c r="J16" s="1"/>
    </x:row>
    <x:row r="17" ht="24" customHeight="1">
      <x:c r="A17" s="8" t="str">
        <x:v>MOV012</x:v>
      </x:c>
      <x:c r="B17" s="10" t="n">
        <x:v>46298</x:v>
      </x:c>
      <x:c r="C17" s="7" t="str">
        <x:v>Consumo</x:v>
      </x:c>
      <x:c r="D17" s="7" t="str">
        <x:v>M002</x:v>
      </x:c>
      <x:c r="E17" s="7" t="n">
        <x:v>2</x:v>
      </x:c>
      <x:c r="F17" s="7" t="str">
        <x:v>V002</x:v>
      </x:c>
      <x:c r="G17" s="12" t="n">
        <x:v>10</x:v>
      </x:c>
      <x:c r="H17" s="13" t="n">
        <x:f>E17*G17</x:f>
        <x:v>20</x:v>
      </x:c>
      <x:c r="I17" s="1"/>
      <x:c r="J17" s="1"/>
    </x:row>
    <x:row r="18" ht="24" customHeight="1">
      <x:c r="A18" s="8" t="str">
        <x:v>MOV013</x:v>
      </x:c>
      <x:c r="B18" s="10" t="n">
        <x:v>46299</x:v>
      </x:c>
      <x:c r="C18" s="7" t="str">
        <x:v>Consumo</x:v>
      </x:c>
      <x:c r="D18" s="7" t="str">
        <x:v>M003</x:v>
      </x:c>
      <x:c r="E18" s="7" t="n">
        <x:v>2</x:v>
      </x:c>
      <x:c r="F18" s="7" t="str">
        <x:v>V003</x:v>
      </x:c>
      <x:c r="G18" s="12" t="n">
        <x:v>15</x:v>
      </x:c>
      <x:c r="H18" s="13" t="n">
        <x:f>E18*G18</x:f>
        <x:v>30</x:v>
      </x:c>
      <x:c r="I18" s="1"/>
      <x:c r="J18" s="1"/>
    </x:row>
    <x:row r="19" ht="24" customHeight="1">
      <x:c r="A19" s="8" t="str">
        <x:v>MOV014</x:v>
      </x:c>
      <x:c r="B19" s="10" t="n">
        <x:v>46300</x:v>
      </x:c>
      <x:c r="C19" s="7" t="str">
        <x:v>Consumo</x:v>
      </x:c>
      <x:c r="D19" s="7" t="str">
        <x:v>M004</x:v>
      </x:c>
      <x:c r="E19" s="7" t="n">
        <x:v>2</x:v>
      </x:c>
      <x:c r="F19" s="7" t="str">
        <x:v>V004</x:v>
      </x:c>
      <x:c r="G19" s="12" t="n">
        <x:v>20</x:v>
      </x:c>
      <x:c r="H19" s="13" t="n">
        <x:f>E19*G19</x:f>
        <x:v>40</x:v>
      </x:c>
      <x:c r="I19" s="1"/>
      <x:c r="J19" s="1"/>
    </x:row>
    <x:row r="20" ht="24" customHeight="1">
      <x:c r="A20" s="8" t="str">
        <x:v>MOV015</x:v>
      </x:c>
      <x:c r="B20" s="10" t="n">
        <x:v>46301</x:v>
      </x:c>
      <x:c r="C20" s="7" t="str">
        <x:v>Consumo</x:v>
      </x:c>
      <x:c r="D20" s="7" t="str">
        <x:v>M005</x:v>
      </x:c>
      <x:c r="E20" s="7" t="n">
        <x:v>2</x:v>
      </x:c>
      <x:c r="F20" s="7" t="str">
        <x:v>V005</x:v>
      </x:c>
      <x:c r="G20" s="12" t="n">
        <x:v>25</x:v>
      </x:c>
      <x:c r="H20" s="13" t="n">
        <x:f>E20*G20</x:f>
        <x:v>50</x:v>
      </x:c>
      <x:c r="I20" s="1"/>
      <x:c r="J20" s="1"/>
    </x:row>
    <x:row r="21" ht="24" customHeight="1">
      <x:c r="A21" s="8" t="str">
        <x:v>MOV016</x:v>
      </x:c>
      <x:c r="B21" s="10" t="n">
        <x:v>46302</x:v>
      </x:c>
      <x:c r="C21" s="7" t="str">
        <x:v>Consumo</x:v>
      </x:c>
      <x:c r="D21" s="7" t="str">
        <x:v>M006</x:v>
      </x:c>
      <x:c r="E21" s="7" t="n">
        <x:v>2</x:v>
      </x:c>
      <x:c r="F21" s="7" t="str">
        <x:v>V006</x:v>
      </x:c>
      <x:c r="G21" s="12" t="n">
        <x:v>30</x:v>
      </x:c>
      <x:c r="H21" s="13" t="n">
        <x:f>E21*G21</x:f>
        <x:v>60</x:v>
      </x:c>
      <x:c r="I21" s="1"/>
      <x:c r="J21" s="1"/>
    </x:row>
    <x:row r="22" ht="24" customHeight="1">
      <x:c r="A22" s="8" t="str">
        <x:v>MOV017</x:v>
      </x:c>
      <x:c r="B22" s="10" t="n">
        <x:v>46303</x:v>
      </x:c>
      <x:c r="C22" s="7" t="str">
        <x:v>Consumo</x:v>
      </x:c>
      <x:c r="D22" s="7" t="str">
        <x:v>M007</x:v>
      </x:c>
      <x:c r="E22" s="7" t="n">
        <x:v>2</x:v>
      </x:c>
      <x:c r="F22" s="7" t="str">
        <x:v>V007</x:v>
      </x:c>
      <x:c r="G22" s="12" t="n">
        <x:v>35</x:v>
      </x:c>
      <x:c r="H22" s="13" t="n">
        <x:f>E22*G22</x:f>
        <x:v>70</x:v>
      </x:c>
      <x:c r="I22" s="1"/>
      <x:c r="J22" s="1"/>
    </x:row>
    <x:row r="23" ht="24" customHeight="1">
      <x:c r="A23" s="8" t="str">
        <x:v>MOV018</x:v>
      </x:c>
      <x:c r="B23" s="10" t="n">
        <x:v>46304</x:v>
      </x:c>
      <x:c r="C23" s="7" t="str">
        <x:v>Consumo</x:v>
      </x:c>
      <x:c r="D23" s="7" t="str">
        <x:v>M008</x:v>
      </x:c>
      <x:c r="E23" s="7" t="n">
        <x:v>2</x:v>
      </x:c>
      <x:c r="F23" s="7" t="str">
        <x:v>V008</x:v>
      </x:c>
      <x:c r="G23" s="12" t="n">
        <x:v>40</x:v>
      </x:c>
      <x:c r="H23" s="13" t="n">
        <x:f>E23*G23</x:f>
        <x:v>80</x:v>
      </x:c>
      <x:c r="I23" s="1"/>
      <x:c r="J23" s="1"/>
    </x:row>
    <x:row r="24" ht="24" customHeight="1">
      <x:c r="A24" s="8" t="str">
        <x:v>MOV019</x:v>
      </x:c>
      <x:c r="B24" s="10" t="n">
        <x:v>46305</x:v>
      </x:c>
      <x:c r="C24" s="7" t="str">
        <x:v>Consumo</x:v>
      </x:c>
      <x:c r="D24" s="7" t="str">
        <x:v>M009</x:v>
      </x:c>
      <x:c r="E24" s="7" t="n">
        <x:v>2</x:v>
      </x:c>
      <x:c r="F24" s="7" t="str">
        <x:v>V001</x:v>
      </x:c>
      <x:c r="G24" s="12" t="n">
        <x:v>45</x:v>
      </x:c>
      <x:c r="H24" s="13" t="n">
        <x:f>E24*G24</x:f>
        <x:v>90</x:v>
      </x:c>
      <x:c r="I24" s="1"/>
      <x:c r="J24" s="1"/>
    </x:row>
    <x:row r="25" ht="24" customHeight="1">
      <x:c r="A25" s="8" t="str">
        <x:v>MOV020</x:v>
      </x:c>
      <x:c r="B25" s="10" t="n">
        <x:v>46306</x:v>
      </x:c>
      <x:c r="C25" s="7" t="str">
        <x:v>Consumo</x:v>
      </x:c>
      <x:c r="D25" s="7" t="str">
        <x:v>M010</x:v>
      </x:c>
      <x:c r="E25" s="7" t="n">
        <x:v>2</x:v>
      </x:c>
      <x:c r="F25" s="7" t="str">
        <x:v>V002</x:v>
      </x:c>
      <x:c r="G25" s="12" t="n">
        <x:v>50</x:v>
      </x:c>
      <x:c r="H25" s="13" t="n">
        <x:f>E25*G25</x:f>
        <x:v>100</x:v>
      </x:c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dataValidations count="1">
    <x:dataValidation type="list" sqref="C6:C25">
      <x:formula1>"Entrada,Consumo"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8f07fb74d841d4"/>
  </x:tableParts>
</x:worksheet>
</file>